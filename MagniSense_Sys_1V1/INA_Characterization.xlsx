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<sst xmlns="http://schemas.openxmlformats.org/spreadsheetml/2006/main" count="57" uniqueCount="31">
  <si>
    <t>INA1 CHARACTERIZATION MAGNISENSE V1</t>
  </si>
  <si>
    <t>p2p</t>
  </si>
  <si>
    <t>max(m)</t>
  </si>
  <si>
    <t>min(m)</t>
  </si>
  <si>
    <t>DC offset</t>
  </si>
  <si>
    <t>VERDICT</t>
  </si>
  <si>
    <t>max</t>
  </si>
  <si>
    <t>min</t>
  </si>
  <si>
    <t>unit</t>
  </si>
  <si>
    <t>COMPLETELY SATURATED</t>
  </si>
  <si>
    <t>SATURATION</t>
  </si>
  <si>
    <t>(v)</t>
  </si>
  <si>
    <t>1K</t>
  </si>
  <si>
    <t>2K</t>
  </si>
  <si>
    <t>4K</t>
  </si>
  <si>
    <t>SATURATED</t>
  </si>
  <si>
    <t>6K</t>
  </si>
  <si>
    <t>8K</t>
  </si>
  <si>
    <t>10K</t>
  </si>
  <si>
    <t>15K</t>
  </si>
  <si>
    <t>20K</t>
  </si>
  <si>
    <t>25K</t>
  </si>
  <si>
    <t>30K</t>
  </si>
  <si>
    <t>35K</t>
  </si>
  <si>
    <t>40K</t>
  </si>
  <si>
    <t>v</t>
  </si>
  <si>
    <t>42K</t>
  </si>
  <si>
    <t>44K</t>
  </si>
  <si>
    <t>46K</t>
  </si>
  <si>
    <t>48K</t>
  </si>
  <si>
    <t>50K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</si>
</sst>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"/>
  <sheetViews>
    <sheetView tabSelected="1" workbookViewId="0">
      <selection activeCell="F18" sqref="F18"/>
    </sheetView>
  </sheetViews>
  <sheetFormatPr defaultColWidth="8.71969696969697" defaultRowHeight="13.8"/>
  <cols>
    <col min="4" max="5" width="9.36363636363636"/>
    <col min="6" max="6" width="23.8181818181818" customWidth="1"/>
    <col min="12" max="12" width="9.45454545454546" customWidth="1"/>
    <col min="14" max="14" width="12.0909090909091" customWidth="1"/>
  </cols>
  <sheetData>
    <row r="1" spans="1:15">
      <c r="A1" s="1" t="s">
        <v>0</v>
      </c>
      <c r="B1" s="1"/>
      <c r="C1" s="1"/>
      <c r="D1" s="1"/>
      <c r="E1" s="1"/>
      <c r="F1" s="1"/>
      <c r="G1" s="2"/>
      <c r="I1" s="3" t="s">
        <v>0</v>
      </c>
      <c r="J1" s="3"/>
      <c r="K1" s="3"/>
      <c r="L1" s="3"/>
      <c r="M1" s="3"/>
      <c r="N1" s="3"/>
      <c r="O1" s="3"/>
    </row>
    <row r="2" spans="1:15">
      <c r="B2" t="s">
        <v>1</v>
      </c>
      <c r="C2" t="s">
        <v>2</v>
      </c>
      <c r="D2" t="s">
        <v>3</v>
      </c>
      <c r="E2" t="s">
        <v>4</v>
      </c>
      <c r="F2" t="s">
        <v>5</v>
      </c>
      <c r="J2" t="s">
        <v>1</v>
      </c>
      <c r="K2" t="s">
        <v>6</v>
      </c>
      <c r="L2" t="s">
        <v>7</v>
      </c>
      <c r="M2" t="s">
        <v>4</v>
      </c>
      <c r="N2" t="s">
        <v>5</v>
      </c>
      <c r="O2" t="s">
        <v>8</v>
      </c>
    </row>
    <row r="3" spans="1:15">
      <c r="A3">
        <v>50</v>
      </c>
      <c r="B3">
        <f>(C3-D3)</f>
        <v>0.06331</v>
      </c>
      <c r="C3">
        <v>0.37488</v>
      </c>
      <c r="D3">
        <v>0.31157</v>
      </c>
      <c r="E3">
        <f>(C3+D3)/2</f>
        <v>0.343225</v>
      </c>
      <c r="F3" t="s">
        <v>9</v>
      </c>
      <c r="I3">
        <v>50</v>
      </c>
      <c r="J3">
        <f>(K3-L3)</f>
        <v>0.0100000000000002</v>
      </c>
      <c r="K3">
        <v>3.24</v>
      </c>
      <c r="L3">
        <v>3.23</v>
      </c>
      <c r="M3">
        <f>(K3+L3)/2</f>
        <v>3.235</v>
      </c>
      <c r="N3" t="s">
        <v>10</v>
      </c>
      <c r="O3" t="s">
        <v>11</v>
      </c>
    </row>
    <row r="4" spans="1:15">
      <c r="A4" t="s">
        <v>12</v>
      </c>
      <c r="B4">
        <f>(C5-D5)</f>
        <v>0.01</v>
      </c>
      <c r="C4">
        <v>0.51151</v>
      </c>
      <c r="D4">
        <v>0.3249</v>
      </c>
      <c r="E4">
        <f>(C4+D4)/2</f>
        <v>0.418205</v>
      </c>
      <c r="F4" t="s">
        <v>9</v>
      </c>
      <c r="I4" t="s">
        <v>12</v>
      </c>
      <c r="J4">
        <f t="shared" ref="J4:J20" si="0">(K4-L4)</f>
        <v>0</v>
      </c>
      <c r="M4">
        <f t="shared" ref="M4:M20" si="1">(K4+L4)/2</f>
        <v>0</v>
      </c>
    </row>
    <row r="5" spans="1:15">
      <c r="A5" t="s">
        <v>13</v>
      </c>
      <c r="B5">
        <f>(C4-D4)</f>
        <v>0.18661</v>
      </c>
      <c r="C5">
        <v>0.4282</v>
      </c>
      <c r="D5">
        <v>0.4182</v>
      </c>
      <c r="E5">
        <f>(C5+D5)/2</f>
        <v>0.4232</v>
      </c>
      <c r="F5" t="s">
        <v>9</v>
      </c>
      <c r="I5" t="s">
        <v>13</v>
      </c>
      <c r="J5">
        <f t="shared" si="0"/>
        <v>0</v>
      </c>
      <c r="M5">
        <f t="shared" si="1"/>
        <v>0</v>
      </c>
    </row>
    <row r="6" spans="1:15">
      <c r="A6" t="s">
        <v>14</v>
      </c>
      <c r="B6">
        <f t="shared" ref="B4:B20" si="2">(C6-D6)</f>
        <v>0.41098</v>
      </c>
      <c r="C6">
        <v>0.66932</v>
      </c>
      <c r="D6">
        <v>0.25834</v>
      </c>
      <c r="E6">
        <f t="shared" ref="E4:E20" si="3">(C6+D6)/2</f>
        <v>0.46383</v>
      </c>
      <c r="F6" t="s">
        <v>15</v>
      </c>
      <c r="I6" t="s">
        <v>14</v>
      </c>
      <c r="J6">
        <f t="shared" si="0"/>
        <v>0</v>
      </c>
      <c r="M6">
        <f t="shared" si="1"/>
        <v>0</v>
      </c>
    </row>
    <row r="7" spans="1:15">
      <c r="A7" t="s">
        <v>16</v>
      </c>
      <c r="B7">
        <f t="shared" si="2"/>
        <v>0.950729</v>
      </c>
      <c r="C7">
        <v>0.97423</v>
      </c>
      <c r="D7">
        <v>0.023501</v>
      </c>
      <c r="E7">
        <f t="shared" si="3"/>
        <v>0.4988655</v>
      </c>
      <c r="F7" t="s">
        <v>15</v>
      </c>
      <c r="I7" t="s">
        <v>16</v>
      </c>
      <c r="J7">
        <f t="shared" si="0"/>
        <v>0</v>
      </c>
      <c r="M7">
        <f t="shared" si="1"/>
        <v>0</v>
      </c>
    </row>
    <row r="8" spans="1:15">
      <c r="A8" t="s">
        <v>17</v>
      </c>
      <c r="B8">
        <f t="shared" si="2"/>
        <v>0.98137</v>
      </c>
      <c r="C8">
        <v>1.1425</v>
      </c>
      <c r="D8">
        <v>0.16113</v>
      </c>
      <c r="E8">
        <f t="shared" si="3"/>
        <v>0.651815</v>
      </c>
      <c r="I8" t="s">
        <v>17</v>
      </c>
      <c r="J8">
        <f t="shared" si="0"/>
        <v>0</v>
      </c>
      <c r="M8">
        <f t="shared" si="1"/>
        <v>0</v>
      </c>
    </row>
    <row r="9" spans="1:15">
      <c r="A9" t="s">
        <v>18</v>
      </c>
      <c r="B9">
        <f t="shared" si="2"/>
        <v>0.68019</v>
      </c>
      <c r="C9">
        <v>1.1239</v>
      </c>
      <c r="D9">
        <v>0.44371</v>
      </c>
      <c r="E9">
        <f t="shared" si="3"/>
        <v>0.783805</v>
      </c>
      <c r="I9" t="s">
        <v>18</v>
      </c>
      <c r="J9">
        <f t="shared" si="0"/>
        <v>0</v>
      </c>
      <c r="M9">
        <f t="shared" si="1"/>
        <v>0</v>
      </c>
    </row>
    <row r="10" spans="1:15">
      <c r="A10" t="s">
        <v>19</v>
      </c>
      <c r="B10">
        <f t="shared" si="2"/>
        <v>0.60348</v>
      </c>
      <c r="C10">
        <v>1.3651</v>
      </c>
      <c r="D10">
        <v>0.76162</v>
      </c>
      <c r="E10">
        <f t="shared" si="3"/>
        <v>1.06336</v>
      </c>
      <c r="I10" t="s">
        <v>19</v>
      </c>
      <c r="J10">
        <f t="shared" si="0"/>
        <v>0</v>
      </c>
      <c r="M10">
        <f t="shared" si="1"/>
        <v>0</v>
      </c>
    </row>
    <row r="11" spans="1:15">
      <c r="A11" t="s">
        <v>20</v>
      </c>
      <c r="B11">
        <f t="shared" si="2"/>
        <v>0.47082</v>
      </c>
      <c r="C11">
        <v>1.4044</v>
      </c>
      <c r="D11">
        <v>0.93358</v>
      </c>
      <c r="E11">
        <f t="shared" si="3"/>
        <v>1.16899</v>
      </c>
      <c r="I11" t="s">
        <v>20</v>
      </c>
      <c r="J11">
        <f t="shared" si="0"/>
        <v>0</v>
      </c>
      <c r="M11">
        <f t="shared" si="1"/>
        <v>0</v>
      </c>
    </row>
    <row r="12" spans="1:15">
      <c r="A12" t="s">
        <v>21</v>
      </c>
      <c r="B12">
        <f t="shared" si="2"/>
        <v>0.4192</v>
      </c>
      <c r="C12">
        <v>1.4501</v>
      </c>
      <c r="D12">
        <v>1.0309</v>
      </c>
      <c r="E12">
        <f t="shared" si="3"/>
        <v>1.2405</v>
      </c>
      <c r="I12" t="s">
        <v>21</v>
      </c>
      <c r="J12">
        <f t="shared" si="0"/>
        <v>0</v>
      </c>
      <c r="M12">
        <f t="shared" si="1"/>
        <v>0</v>
      </c>
    </row>
    <row r="13" spans="1:15">
      <c r="A13" t="s">
        <v>22</v>
      </c>
      <c r="B13">
        <f t="shared" si="2"/>
        <v>0.3642</v>
      </c>
      <c r="C13">
        <v>1.4684</v>
      </c>
      <c r="D13">
        <v>1.1042</v>
      </c>
      <c r="E13">
        <f t="shared" si="3"/>
        <v>1.2863</v>
      </c>
      <c r="I13" t="s">
        <v>22</v>
      </c>
      <c r="J13">
        <f t="shared" si="0"/>
        <v>0</v>
      </c>
      <c r="M13">
        <f t="shared" si="1"/>
        <v>0</v>
      </c>
    </row>
    <row r="14" spans="1:15">
      <c r="A14" t="s">
        <v>23</v>
      </c>
      <c r="B14">
        <f t="shared" si="2"/>
        <v>0.3316</v>
      </c>
      <c r="C14">
        <v>1.4861</v>
      </c>
      <c r="D14">
        <v>1.1545</v>
      </c>
      <c r="E14">
        <f t="shared" si="3"/>
        <v>1.3203</v>
      </c>
      <c r="I14" t="s">
        <v>23</v>
      </c>
      <c r="J14">
        <f t="shared" si="0"/>
        <v>0</v>
      </c>
      <c r="M14">
        <f t="shared" si="1"/>
        <v>0</v>
      </c>
    </row>
    <row r="15" spans="1:15">
      <c r="A15" t="s">
        <v>24</v>
      </c>
      <c r="B15">
        <f t="shared" si="2"/>
        <v>0.3139</v>
      </c>
      <c r="C15">
        <v>1.4967</v>
      </c>
      <c r="D15">
        <v>1.1828</v>
      </c>
      <c r="E15">
        <f t="shared" si="3"/>
        <v>1.33975</v>
      </c>
      <c r="I15" t="s">
        <v>24</v>
      </c>
      <c r="J15">
        <f t="shared" si="0"/>
        <v>1.46</v>
      </c>
      <c r="K15">
        <v>3.28</v>
      </c>
      <c r="L15">
        <v>1.82</v>
      </c>
      <c r="M15">
        <f t="shared" si="1"/>
        <v>2.55</v>
      </c>
      <c r="O15" t="s">
        <v>25</v>
      </c>
    </row>
    <row r="16" spans="1:15">
      <c r="A16" t="s">
        <v>26</v>
      </c>
      <c r="B16">
        <f t="shared" si="2"/>
        <v>0.3099</v>
      </c>
      <c r="C16">
        <v>1.5041</v>
      </c>
      <c r="D16">
        <v>1.1942</v>
      </c>
      <c r="E16">
        <f t="shared" si="3"/>
        <v>1.34915</v>
      </c>
      <c r="I16" t="s">
        <v>26</v>
      </c>
      <c r="J16">
        <f t="shared" si="0"/>
        <v>1.48</v>
      </c>
      <c r="K16">
        <v>3.34</v>
      </c>
      <c r="L16">
        <v>1.86</v>
      </c>
      <c r="M16">
        <f t="shared" si="1"/>
        <v>2.6</v>
      </c>
      <c r="N16" t="s">
        <v>10</v>
      </c>
      <c r="O16" t="s">
        <v>11</v>
      </c>
    </row>
    <row r="17" spans="1:13">
      <c r="A17" t="s">
        <v>27</v>
      </c>
      <c r="B17">
        <f t="shared" si="2"/>
        <v>0.3029</v>
      </c>
      <c r="C17">
        <v>1.5104</v>
      </c>
      <c r="D17">
        <v>1.2075</v>
      </c>
      <c r="E17">
        <f t="shared" si="3"/>
        <v>1.35895</v>
      </c>
      <c r="I17" t="s">
        <v>27</v>
      </c>
      <c r="J17">
        <f t="shared" si="0"/>
        <v>0</v>
      </c>
      <c r="M17">
        <f t="shared" si="1"/>
        <v>0</v>
      </c>
    </row>
    <row r="18" spans="1:13">
      <c r="A18" t="s">
        <v>28</v>
      </c>
      <c r="B18">
        <f t="shared" si="2"/>
        <v>0.2885</v>
      </c>
      <c r="C18">
        <v>1.5067</v>
      </c>
      <c r="D18">
        <v>1.2182</v>
      </c>
      <c r="E18">
        <f t="shared" si="3"/>
        <v>1.36245</v>
      </c>
      <c r="I18" t="s">
        <v>28</v>
      </c>
      <c r="J18">
        <f t="shared" si="0"/>
        <v>0</v>
      </c>
      <c r="M18">
        <f t="shared" si="1"/>
        <v>0</v>
      </c>
    </row>
    <row r="19" spans="1:13">
      <c r="A19" t="s">
        <v>29</v>
      </c>
      <c r="B19">
        <f t="shared" si="2"/>
        <v>0.2786</v>
      </c>
      <c r="C19">
        <v>1.5111</v>
      </c>
      <c r="D19">
        <v>1.2325</v>
      </c>
      <c r="E19">
        <f t="shared" si="3"/>
        <v>1.3718</v>
      </c>
      <c r="I19" t="s">
        <v>29</v>
      </c>
      <c r="J19">
        <f t="shared" si="0"/>
        <v>0</v>
      </c>
      <c r="M19">
        <f t="shared" si="1"/>
        <v>0</v>
      </c>
    </row>
    <row r="20" spans="1:13">
      <c r="A20" t="s">
        <v>30</v>
      </c>
      <c r="B20">
        <f t="shared" si="2"/>
        <v>0.2859</v>
      </c>
      <c r="C20">
        <v>1.5197</v>
      </c>
      <c r="D20">
        <v>1.2338</v>
      </c>
      <c r="E20">
        <f t="shared" si="3"/>
        <v>1.37675</v>
      </c>
      <c r="I20" t="s">
        <v>30</v>
      </c>
      <c r="J20">
        <f t="shared" si="0"/>
        <v>0</v>
      </c>
      <c r="M20">
        <f t="shared" si="1"/>
        <v>0</v>
      </c>
    </row>
  </sheetData>
  <mergeCells count="2">
    <mergeCell ref="A1:F1"/>
    <mergeCell ref="I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</dc:creator>
  <cp:lastModifiedBy>Meet</cp:lastModifiedBy>
  <dcterms:created xsi:type="dcterms:W3CDTF">2026-10-27T02:53:00Z</dcterms:created>
  <dcterms:modified xsi:type="dcterms:W3CDTF">2026-10-28T10:49:17Z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0D5EF2166984063C292ADF6A34F24072_41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1</vt:i4>
  </property>
</Properties>
</file>